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C Projects/matrix-optimization/results/"/>
    </mc:Choice>
  </mc:AlternateContent>
  <xr:revisionPtr revIDLastSave="0" documentId="8_{6919EA4E-888B-4BA1-BED4-B64FAF9B6BA8}" xr6:coauthVersionLast="47" xr6:coauthVersionMax="47" xr10:uidLastSave="{00000000-0000-0000-0000-000000000000}"/>
  <bookViews>
    <workbookView xWindow="-110" yWindow="-110" windowWidth="24220" windowHeight="15500" xr2:uid="{BE689DBF-AB79-4621-950F-1B8B4EC2841B}"/>
  </bookViews>
  <sheets>
    <sheet name="Loop Order Optimization" sheetId="1" r:id="rId1"/>
    <sheet name="Block Size Optimization 400x400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0" i="2" l="1"/>
  <c r="R21" i="2"/>
  <c r="R22" i="2"/>
  <c r="R23" i="2"/>
  <c r="R24" i="2"/>
  <c r="R25" i="2"/>
  <c r="R26" i="2"/>
  <c r="R19" i="2"/>
  <c r="Q20" i="2"/>
  <c r="Q21" i="2"/>
  <c r="Q22" i="2"/>
  <c r="Q23" i="2"/>
  <c r="Q24" i="2"/>
  <c r="Q25" i="2"/>
  <c r="Q26" i="2"/>
  <c r="Q19" i="2"/>
  <c r="P20" i="2"/>
  <c r="P21" i="2"/>
  <c r="P22" i="2"/>
  <c r="P23" i="2"/>
  <c r="P24" i="2"/>
  <c r="P25" i="2"/>
  <c r="P26" i="2"/>
  <c r="P19" i="2"/>
  <c r="K20" i="2"/>
  <c r="K21" i="2"/>
  <c r="K22" i="2"/>
  <c r="K23" i="2"/>
  <c r="K24" i="2"/>
  <c r="K25" i="2"/>
  <c r="K26" i="2"/>
  <c r="K19" i="2"/>
  <c r="M19" i="2"/>
  <c r="M20" i="2"/>
  <c r="M21" i="2"/>
  <c r="M22" i="2"/>
  <c r="M23" i="2"/>
  <c r="M24" i="2"/>
  <c r="M25" i="2"/>
  <c r="M26" i="2"/>
  <c r="L26" i="2"/>
  <c r="H26" i="2"/>
  <c r="H25" i="2"/>
  <c r="L25" i="2" s="1"/>
  <c r="H19" i="2"/>
  <c r="L20" i="2" s="1"/>
  <c r="H24" i="2"/>
  <c r="H23" i="2"/>
  <c r="L24" i="2" s="1"/>
  <c r="H22" i="2"/>
  <c r="L23" i="2" s="1"/>
  <c r="H21" i="2"/>
  <c r="L22" i="2" s="1"/>
  <c r="H20" i="2"/>
  <c r="L21" i="2" s="1"/>
  <c r="H15" i="2"/>
  <c r="L15" i="2" s="1"/>
  <c r="H14" i="2"/>
  <c r="L14" i="2" s="1"/>
  <c r="H13" i="2"/>
  <c r="L13" i="2" s="1"/>
  <c r="H12" i="2"/>
  <c r="L12" i="2" s="1"/>
  <c r="H11" i="2"/>
  <c r="L11" i="2" s="1"/>
  <c r="H4" i="2"/>
  <c r="K12" i="2" s="1"/>
  <c r="H5" i="2"/>
  <c r="H6" i="2"/>
  <c r="H7" i="2"/>
  <c r="K15" i="2" s="1"/>
  <c r="H3" i="2"/>
  <c r="K11" i="2" s="1"/>
  <c r="I47" i="1"/>
  <c r="F47" i="1"/>
  <c r="J47" i="1" s="1"/>
  <c r="I46" i="1"/>
  <c r="F46" i="1"/>
  <c r="J46" i="1" s="1"/>
  <c r="I45" i="1"/>
  <c r="F45" i="1"/>
  <c r="K45" i="1" s="1"/>
  <c r="I44" i="1"/>
  <c r="F44" i="1"/>
  <c r="J44" i="1" s="1"/>
  <c r="J43" i="1"/>
  <c r="I43" i="1"/>
  <c r="I39" i="1"/>
  <c r="F39" i="1"/>
  <c r="K39" i="1" s="1"/>
  <c r="I38" i="1"/>
  <c r="F38" i="1"/>
  <c r="J38" i="1" s="1"/>
  <c r="I37" i="1"/>
  <c r="F37" i="1"/>
  <c r="K37" i="1" s="1"/>
  <c r="I36" i="1"/>
  <c r="F36" i="1"/>
  <c r="J36" i="1" s="1"/>
  <c r="J35" i="1"/>
  <c r="I35" i="1"/>
  <c r="K11" i="1"/>
  <c r="F19" i="1"/>
  <c r="K19" i="1" s="1"/>
  <c r="I31" i="1"/>
  <c r="F31" i="1"/>
  <c r="J31" i="1" s="1"/>
  <c r="I30" i="1"/>
  <c r="F30" i="1"/>
  <c r="K30" i="1" s="1"/>
  <c r="I29" i="1"/>
  <c r="F29" i="1"/>
  <c r="K29" i="1" s="1"/>
  <c r="I28" i="1"/>
  <c r="F28" i="1"/>
  <c r="J28" i="1" s="1"/>
  <c r="J27" i="1"/>
  <c r="J23" i="1"/>
  <c r="I19" i="1"/>
  <c r="I20" i="1"/>
  <c r="I21" i="1"/>
  <c r="I22" i="1"/>
  <c r="I23" i="1"/>
  <c r="F23" i="1"/>
  <c r="K23" i="1" s="1"/>
  <c r="F22" i="1"/>
  <c r="J22" i="1" s="1"/>
  <c r="F21" i="1"/>
  <c r="K21" i="1" s="1"/>
  <c r="F20" i="1"/>
  <c r="K20" i="1" s="1"/>
  <c r="I12" i="1"/>
  <c r="I13" i="1"/>
  <c r="I14" i="1"/>
  <c r="I15" i="1"/>
  <c r="I11" i="1"/>
  <c r="F13" i="1"/>
  <c r="J13" i="1" s="1"/>
  <c r="F14" i="1"/>
  <c r="J14" i="1" s="1"/>
  <c r="F15" i="1"/>
  <c r="J15" i="1" s="1"/>
  <c r="F12" i="1"/>
  <c r="J12" i="1" s="1"/>
  <c r="L19" i="2" l="1"/>
  <c r="M14" i="2"/>
  <c r="M13" i="2"/>
  <c r="K13" i="2"/>
  <c r="M11" i="2"/>
  <c r="M12" i="2"/>
  <c r="M15" i="2"/>
  <c r="K14" i="2"/>
  <c r="K46" i="1"/>
  <c r="K44" i="1"/>
  <c r="K47" i="1"/>
  <c r="J45" i="1"/>
  <c r="J39" i="1"/>
  <c r="K38" i="1"/>
  <c r="K36" i="1"/>
  <c r="J37" i="1"/>
  <c r="J30" i="1"/>
  <c r="K28" i="1"/>
  <c r="I27" i="1"/>
  <c r="J11" i="1"/>
  <c r="J19" i="1"/>
  <c r="J29" i="1"/>
  <c r="K31" i="1"/>
  <c r="K15" i="1"/>
  <c r="K13" i="1"/>
  <c r="K14" i="1"/>
  <c r="K12" i="1"/>
  <c r="J21" i="1"/>
  <c r="J20" i="1"/>
  <c r="K22" i="1"/>
</calcChain>
</file>

<file path=xl/sharedStrings.xml><?xml version="1.0" encoding="utf-8"?>
<sst xmlns="http://schemas.openxmlformats.org/spreadsheetml/2006/main" count="182" uniqueCount="35">
  <si>
    <t>Size</t>
  </si>
  <si>
    <t>Trial 1 (s)</t>
  </si>
  <si>
    <t>Trial 2 (s)</t>
  </si>
  <si>
    <t>Trial 3 (s)</t>
  </si>
  <si>
    <t>Sum</t>
  </si>
  <si>
    <t>Avg (s)</t>
  </si>
  <si>
    <t>50x50</t>
  </si>
  <si>
    <t>100x100</t>
  </si>
  <si>
    <t>200x200</t>
  </si>
  <si>
    <t>300x300</t>
  </si>
  <si>
    <t>400x400</t>
  </si>
  <si>
    <t>Speedup Time from KIJ to IJK</t>
  </si>
  <si>
    <t>Basic Avg</t>
  </si>
  <si>
    <t>Altered Avg</t>
  </si>
  <si>
    <t>Speedup</t>
  </si>
  <si>
    <t>Basic Algorithm, triple loop, KIJ order</t>
  </si>
  <si>
    <t>Altered Algorithm, triple loop, IJK order</t>
  </si>
  <si>
    <t>Altered Algorithm, triple loop, IKJ order</t>
  </si>
  <si>
    <t>Altered Algorithm, triple loop, JIK order</t>
  </si>
  <si>
    <t>Speedup Time from KIJ to JIK</t>
  </si>
  <si>
    <t>undefined</t>
  </si>
  <si>
    <t>Altered Algorithm, triple loop, JKI order</t>
  </si>
  <si>
    <t>Speedup Time from KIJ to JKI</t>
  </si>
  <si>
    <t>Altered Algorithm, triple loop, KJI order</t>
  </si>
  <si>
    <t>Speedup Time from KIJ to KJI</t>
  </si>
  <si>
    <t>Speedup Time from KIJ to IKJ</t>
  </si>
  <si>
    <t>Trial 4 (s)</t>
  </si>
  <si>
    <t>Trial 5 (s)</t>
  </si>
  <si>
    <t>Optimized Algorithm, triple loop, IJK order</t>
  </si>
  <si>
    <t>Blocking Algorithm, 400x400, IJK order</t>
  </si>
  <si>
    <t>Speedup Time from Baseline</t>
  </si>
  <si>
    <t>Speedup Time from Altered</t>
  </si>
  <si>
    <t>Blocked</t>
  </si>
  <si>
    <t>Basic</t>
  </si>
  <si>
    <t>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</si>
</sst>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5" xfId="0" applyFont="1" applyFill="1" applyBorder="1"/>
    <xf numFmtId="0" fontId="1" fillId="2" borderId="7" xfId="0" applyFont="1" applyFill="1" applyBorder="1"/>
    <xf numFmtId="0" fontId="0" fillId="3" borderId="0" xfId="0" applyFill="1" applyAlignment="1">
      <alignment horizontal="center"/>
    </xf>
    <xf numFmtId="0" fontId="0" fillId="0" borderId="5" xfId="0" applyBorder="1"/>
    <xf numFmtId="0" fontId="1" fillId="2" borderId="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</cellXfs>
  <cellStyles count="1">
    <cellStyle name="Normal" xfId="0" builtinId="0"/>
  </cellStyles>
  <dxfs count="160"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Invisible" pivot="0" table="0" count="0" xr9:uid="{E890383F-59C6-4AF8-BD6A-6C7A85B038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BD2B3-BE65-4763-B9D3-D01F6FE3DF1C}" name="Table1" displayName="Table1" ref="A2:F7" totalsRowShown="0" headerRowDxfId="159" headerRowBorderDxfId="158" tableBorderDxfId="157" totalsRowBorderDxfId="156">
  <autoFilter ref="A2:F7" xr:uid="{63BBD2B3-BE65-4763-B9D3-D01F6FE3DF1C}"/>
  <tableColumns count="6">
    <tableColumn id="1" xr3:uid="{6DF700B7-32E7-4A1D-8733-78619B5F6F20}" name="Size" dataDxfId="155"/>
    <tableColumn id="2" xr3:uid="{BB006AAB-DBD5-4849-BC3D-87225C932ABA}" name="Trial 1 (s)" dataDxfId="154"/>
    <tableColumn id="3" xr3:uid="{F9F58001-E52C-4099-9F99-47AAD374CC7C}" name="Trial 2 (s)" dataDxfId="153"/>
    <tableColumn id="4" xr3:uid="{F0EDAC0D-CE0B-42C0-A429-E8665A355F9F}" name="Trial 3 (s)" dataDxfId="152"/>
    <tableColumn id="5" xr3:uid="{C2330A9C-CD59-41DD-840E-C21C0190F448}" name="Sum" dataDxfId="151"/>
    <tableColumn id="6" xr3:uid="{68DAE6E1-8489-4B13-AA33-CF20DB9E5182}" name="Avg (s)" dataDxfId="1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2D9C6-B7AB-494F-98A8-710FC9D37F3F}" name="Table13" displayName="Table13" ref="A10:F15" totalsRowShown="0" headerRowDxfId="149" headerRowBorderDxfId="148" tableBorderDxfId="147" totalsRowBorderDxfId="146">
  <autoFilter ref="A10:F15" xr:uid="{FAF2D9C6-B7AB-494F-98A8-710FC9D37F3F}"/>
  <tableColumns count="6">
    <tableColumn id="1" xr3:uid="{9DFB3F44-13CA-4B09-AF07-EDE4285FA973}" name="Size" dataDxfId="145"/>
    <tableColumn id="2" xr3:uid="{2A79DA4C-0F91-4521-B455-2C6AC20AE61F}" name="Trial 1 (s)" dataDxfId="144"/>
    <tableColumn id="3" xr3:uid="{B11B5EE4-7063-4710-8CD1-93B54A2CD467}" name="Trial 2 (s)" dataDxfId="143"/>
    <tableColumn id="4" xr3:uid="{38B72FCF-2C6B-42FE-9A29-C621E4A2AC60}" name="Trial 3 (s)" dataDxfId="142"/>
    <tableColumn id="5" xr3:uid="{2CDCD45A-90EA-465F-89F5-887A7F419662}" name="Sum" dataDxfId="141"/>
    <tableColumn id="6" xr3:uid="{D1EA0FD6-A2AD-4F7A-BE5F-85DE379168C8}" name="Avg (s)" dataDxfId="1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2D6D5-545D-42F3-92F4-DFADCC9D10A8}" name="Table134" displayName="Table134" ref="H10:K15" totalsRowShown="0" headerRowDxfId="139" headerRowBorderDxfId="138" tableBorderDxfId="137" totalsRowBorderDxfId="136">
  <autoFilter ref="H10:K15" xr:uid="{63E2D6D5-545D-42F3-92F4-DFADCC9D10A8}"/>
  <tableColumns count="4">
    <tableColumn id="1" xr3:uid="{9774D72A-A5CC-4026-96A0-9960F10B8BE4}" name="Size" dataDxfId="135"/>
    <tableColumn id="2" xr3:uid="{01A6A2E6-4FD2-4B10-9116-FFB636CD70A1}" name="Basic Avg" dataDxfId="134">
      <calculatedColumnFormula>F3</calculatedColumnFormula>
    </tableColumn>
    <tableColumn id="3" xr3:uid="{B48C55B8-115A-4762-8FF2-0D1C126A801E}" name="Altered Avg" dataDxfId="133">
      <calculatedColumnFormula>F11</calculatedColumnFormula>
    </tableColumn>
    <tableColumn id="4" xr3:uid="{EEB37237-9A03-4266-9C62-B8EA8F425B91}" name="Speedup" dataDxfId="132">
      <calculatedColumnFormula>F3/F11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EFAA43-6074-4E6E-BEBE-2CB3D09106E3}" name="Table135" displayName="Table135" ref="A18:F23" totalsRowShown="0" headerRowDxfId="131" headerRowBorderDxfId="130" tableBorderDxfId="129" totalsRowBorderDxfId="128">
  <autoFilter ref="A18:F23" xr:uid="{13EFAA43-6074-4E6E-BEBE-2CB3D09106E3}"/>
  <tableColumns count="6">
    <tableColumn id="1" xr3:uid="{A142E3C5-B251-4060-BD28-9D3F7CF8FD75}" name="Size" dataDxfId="127"/>
    <tableColumn id="2" xr3:uid="{75B5730C-4DB6-4124-B6D4-A5A8957EED12}" name="Trial 1 (s)" dataDxfId="126"/>
    <tableColumn id="3" xr3:uid="{3E1BE94B-E418-4F9B-9D42-2740669652F1}" name="Trial 2 (s)" dataDxfId="125"/>
    <tableColumn id="4" xr3:uid="{770AC461-B423-4407-8735-E29F59AB9A44}" name="Trial 3 (s)" dataDxfId="124"/>
    <tableColumn id="5" xr3:uid="{4CC9B467-D3A1-428D-9CF0-B3856928E5D4}" name="Sum" dataDxfId="123"/>
    <tableColumn id="6" xr3:uid="{E0E2813A-F666-4B94-8037-A72AA2E791AE}" name="Avg (s)" dataDxfId="1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770968-9A26-47EB-8791-B43639D1FDA9}" name="Table1346" displayName="Table1346" ref="H18:K23" totalsRowShown="0" headerRowDxfId="121" headerRowBorderDxfId="120" tableBorderDxfId="119" totalsRowBorderDxfId="118">
  <autoFilter ref="H18:K23" xr:uid="{C1770968-9A26-47EB-8791-B43639D1FDA9}"/>
  <tableColumns count="4">
    <tableColumn id="1" xr3:uid="{C03CE803-0A34-4052-A711-2B70B803BDD3}" name="Size" dataDxfId="117"/>
    <tableColumn id="2" xr3:uid="{34992828-34D4-4858-B252-12723BB4E663}" name="Basic Avg" dataDxfId="116">
      <calculatedColumnFormula>F3</calculatedColumnFormula>
    </tableColumn>
    <tableColumn id="3" xr3:uid="{A795F269-153F-4784-98AD-3F8467BCFB33}" name="Altered Avg" dataDxfId="115">
      <calculatedColumnFormula>F19</calculatedColumnFormula>
    </tableColumn>
    <tableColumn id="4" xr3:uid="{EDEFF242-FF0E-4D0F-9543-DA9AB6A35983}" name="Speedup" dataDxfId="114">
      <calculatedColumnFormula>F3/F19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188BB4-89E1-4C6C-BD13-52D0247DE9D0}" name="Table1357" displayName="Table1357" ref="A26:F31" totalsRowShown="0" headerRowDxfId="113" headerRowBorderDxfId="112" tableBorderDxfId="111" totalsRowBorderDxfId="110">
  <autoFilter ref="A26:F31" xr:uid="{CB188BB4-89E1-4C6C-BD13-52D0247DE9D0}"/>
  <tableColumns count="6">
    <tableColumn id="1" xr3:uid="{75F0F973-8FA2-4BC8-A306-42E56F11FD44}" name="Size" dataDxfId="109"/>
    <tableColumn id="2" xr3:uid="{947F5385-5FDD-4757-9A17-1CBDBE4A8B8B}" name="Trial 1 (s)" dataDxfId="108"/>
    <tableColumn id="3" xr3:uid="{56829255-507B-445D-87F1-22FF4379CDB2}" name="Trial 2 (s)" dataDxfId="107"/>
    <tableColumn id="4" xr3:uid="{B430193C-4EBA-463D-AC2B-CFF53E503F3A}" name="Trial 3 (s)" dataDxfId="106"/>
    <tableColumn id="5" xr3:uid="{CDE6455F-D3D2-405B-ACB7-6ACA68C0918C}" name="Sum" dataDxfId="105"/>
    <tableColumn id="6" xr3:uid="{35B2B799-6F2E-4F0A-9127-3EC730BBDD40}" name="Avg (s)" dataDxfId="10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1AE643-6777-419E-AEDE-BABE272C28B2}" name="Table13468" displayName="Table13468" ref="H26:K31" totalsRowShown="0" headerRowDxfId="103" headerRowBorderDxfId="102" tableBorderDxfId="101" totalsRowBorderDxfId="100">
  <autoFilter ref="H26:K31" xr:uid="{E91AE643-6777-419E-AEDE-BABE272C28B2}"/>
  <tableColumns count="4">
    <tableColumn id="1" xr3:uid="{A80E32DA-BF8D-4B1F-A822-81B2C69FB728}" name="Size" dataDxfId="99"/>
    <tableColumn id="2" xr3:uid="{2061FF13-4F43-44F7-935D-B5ED4E0177EE}" name="Basic Avg" dataDxfId="98">
      <calculatedColumnFormula>F11</calculatedColumnFormula>
    </tableColumn>
    <tableColumn id="3" xr3:uid="{AC73446D-3EA3-4C35-AC2B-5B163B579CE2}" name="Altered Avg" dataDxfId="97">
      <calculatedColumnFormula>F27</calculatedColumnFormula>
    </tableColumn>
    <tableColumn id="4" xr3:uid="{C59128F4-E955-4570-8A0A-E3D290DC5681}" name="Speedup" dataDxfId="96">
      <calculatedColumnFormula>F11/F27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326AE8-74D7-4805-B124-009CB5F9203A}" name="Table13579" displayName="Table13579" ref="A34:F39" totalsRowShown="0" headerRowDxfId="95" headerRowBorderDxfId="94" tableBorderDxfId="93" totalsRowBorderDxfId="92">
  <autoFilter ref="A34:F39" xr:uid="{D3326AE8-74D7-4805-B124-009CB5F9203A}"/>
  <tableColumns count="6">
    <tableColumn id="1" xr3:uid="{170999F3-583E-4DE1-A5E7-FE5C0DA71D8A}" name="Size" dataDxfId="91"/>
    <tableColumn id="2" xr3:uid="{D19AADB7-7B94-4770-9EC2-042A34A0BE7A}" name="Trial 1 (s)" dataDxfId="90"/>
    <tableColumn id="3" xr3:uid="{52318D82-59A6-4397-8525-8CA4AF7DA966}" name="Trial 2 (s)" dataDxfId="89"/>
    <tableColumn id="4" xr3:uid="{6A4680EF-3EA7-4C78-B208-FE7C3B1FD5DF}" name="Trial 3 (s)" dataDxfId="88"/>
    <tableColumn id="5" xr3:uid="{BED11E2A-71BD-48FC-AAE7-23BA2CE09BFF}" name="Sum" dataDxfId="87"/>
    <tableColumn id="6" xr3:uid="{FE3C1FB8-FB74-4021-90EF-37A65F4B4ACE}" name="Avg (s)" dataDxfId="8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CC766F-97D5-4E02-A06B-D610B9FF71E5}" name="Table1346810" displayName="Table1346810" ref="H34:K39" totalsRowShown="0" headerRowDxfId="85" headerRowBorderDxfId="84" tableBorderDxfId="83" totalsRowBorderDxfId="82">
  <autoFilter ref="H34:K39" xr:uid="{F0CC766F-97D5-4E02-A06B-D610B9FF71E5}"/>
  <tableColumns count="4">
    <tableColumn id="1" xr3:uid="{A7C0CC22-53CE-4CA8-8DB8-4285F3CF5131}" name="Size" dataDxfId="81"/>
    <tableColumn id="2" xr3:uid="{A887D9DD-E987-4FEE-B15A-12CC404D63C0}" name="Basic Avg" dataDxfId="80">
      <calculatedColumnFormula>F19</calculatedColumnFormula>
    </tableColumn>
    <tableColumn id="3" xr3:uid="{624FD0A9-5A50-4E8D-9CEE-0CEBE77FA0E8}" name="Altered Avg" dataDxfId="79">
      <calculatedColumnFormula>F35</calculatedColumnFormula>
    </tableColumn>
    <tableColumn id="4" xr3:uid="{3B96FB8D-961E-4E0C-B17D-F9AFD5080EC2}" name="Speedup" dataDxfId="78">
      <calculatedColumnFormula>F19/F35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B98A35-79BF-47C4-B7B7-1CBE0D908AB9}" name="Table1357911" displayName="Table1357911" ref="A42:F47" totalsRowShown="0" headerRowDxfId="77" headerRowBorderDxfId="76" tableBorderDxfId="75" totalsRowBorderDxfId="74">
  <autoFilter ref="A42:F47" xr:uid="{F2B98A35-79BF-47C4-B7B7-1CBE0D908AB9}"/>
  <tableColumns count="6">
    <tableColumn id="1" xr3:uid="{26A5DFA9-F23A-4CF5-A76B-084E52BDF4CD}" name="Size" dataDxfId="73"/>
    <tableColumn id="2" xr3:uid="{BC828EAA-87C3-48E5-A2E8-701B5EAB7280}" name="Trial 1 (s)" dataDxfId="72"/>
    <tableColumn id="3" xr3:uid="{845DF22E-7FCE-4B99-BE70-34F17BA72E70}" name="Trial 2 (s)" dataDxfId="71"/>
    <tableColumn id="4" xr3:uid="{A0E5B1B5-CE47-482A-87E6-207FFA6BADDC}" name="Trial 3 (s)" dataDxfId="70"/>
    <tableColumn id="5" xr3:uid="{CF28321A-5EF1-4F8E-B4C1-05BD3C000941}" name="Sum" dataDxfId="69"/>
    <tableColumn id="6" xr3:uid="{2E8BDEE3-5905-4C56-A8F6-ECBE019B430C}" name="Avg (s)" dataDxfId="6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B776D4-FD3B-4B87-8492-A12A0DB6D8B5}" name="Table134681012" displayName="Table134681012" ref="H42:K47" totalsRowShown="0" headerRowDxfId="67" headerRowBorderDxfId="66" tableBorderDxfId="65" totalsRowBorderDxfId="64">
  <autoFilter ref="H42:K47" xr:uid="{41B776D4-FD3B-4B87-8492-A12A0DB6D8B5}"/>
  <tableColumns count="4">
    <tableColumn id="1" xr3:uid="{ADC0AE9D-4B7A-455E-9FEE-BB1F09052FF0}" name="Size" dataDxfId="63"/>
    <tableColumn id="2" xr3:uid="{791066B3-9092-4747-BEF2-EFB88AD39A55}" name="Basic Avg" dataDxfId="62">
      <calculatedColumnFormula>F27</calculatedColumnFormula>
    </tableColumn>
    <tableColumn id="3" xr3:uid="{840BBD16-B5B3-41F1-AF92-02DBDC9D74B4}" name="Altered Avg" dataDxfId="61">
      <calculatedColumnFormula>F43</calculatedColumnFormula>
    </tableColumn>
    <tableColumn id="4" xr3:uid="{C2871850-4F5A-424F-96FC-01A9DF0D8543}" name="Speedup" dataDxfId="60">
      <calculatedColumnFormula>F27/F43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75D2DF1-4E70-4248-BBC9-72590FC4A399}" name="Table116" displayName="Table116" ref="A2:H7" totalsRowShown="0" headerRowDxfId="59" headerRowBorderDxfId="57" tableBorderDxfId="58" totalsRowBorderDxfId="56">
  <autoFilter ref="A2:H7" xr:uid="{B75D2DF1-4E70-4248-BBC9-72590FC4A399}"/>
  <tableColumns count="8">
    <tableColumn id="1" xr3:uid="{D51DA32B-2C6C-48F4-B2BF-1553EC170F02}" name="Size" dataDxfId="55"/>
    <tableColumn id="2" xr3:uid="{1D8A23B0-8B1A-4B3C-BFAB-1DBA435AC7A7}" name="Trial 1 (s)" dataDxfId="54"/>
    <tableColumn id="3" xr3:uid="{FF436652-E6C1-42B7-80A9-23CBEB83C791}" name="Trial 2 (s)" dataDxfId="53"/>
    <tableColumn id="4" xr3:uid="{052BA521-1C61-4F6B-8C63-ABE69F9312BA}" name="Trial 3 (s)" dataDxfId="52"/>
    <tableColumn id="7" xr3:uid="{DC0F8B44-F12A-43BA-BFC3-FB492213D639}" name="Trial 4 (s)" dataDxfId="49"/>
    <tableColumn id="8" xr3:uid="{9965131E-BD3A-4EF7-9580-8E3DFE34A19E}" name="Trial 5 (s)" dataDxfId="48"/>
    <tableColumn id="5" xr3:uid="{0C4C1E89-1EEA-4BC4-B8C6-61175218129F}" name="Sum" dataDxfId="51"/>
    <tableColumn id="6" xr3:uid="{F80884F4-C1F8-4F97-AE23-2DC0D46B5B14}" name="Avg (s)" dataDxfId="50">
      <calculatedColumnFormula>AVERAGE(Table116[[#This Row],[Trial 1 (s)]:[Trial 5 (s)]])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BA5D250-9F94-4195-B23E-32EB049B6676}" name="Table11617" displayName="Table11617" ref="A10:H15" totalsRowShown="0" headerRowDxfId="47" headerRowBorderDxfId="45" tableBorderDxfId="46" totalsRowBorderDxfId="44">
  <autoFilter ref="A10:H15" xr:uid="{DBA5D250-9F94-4195-B23E-32EB049B6676}"/>
  <tableColumns count="8">
    <tableColumn id="1" xr3:uid="{34E46B06-934C-43A0-A610-DA8001BA848B}" name="Size" dataDxfId="43"/>
    <tableColumn id="2" xr3:uid="{6E7B3537-6B35-4606-90B2-A08DCCA88FE2}" name="Trial 1 (s)" dataDxfId="42"/>
    <tableColumn id="3" xr3:uid="{5F6781B3-23AA-427D-A311-B29BC4EDC0A1}" name="Trial 2 (s)" dataDxfId="41"/>
    <tableColumn id="4" xr3:uid="{85130E4B-3693-4DB7-8378-5EB26C90D7CB}" name="Trial 3 (s)" dataDxfId="40"/>
    <tableColumn id="7" xr3:uid="{BDFD1A4B-15AE-4315-B306-53C36CCBEE75}" name="Trial 4 (s)" dataDxfId="39"/>
    <tableColumn id="8" xr3:uid="{D5293C8E-9364-48CC-9CA6-781AA2C27CCD}" name="Trial 5 (s)" dataDxfId="38"/>
    <tableColumn id="5" xr3:uid="{5B0ABD8E-116F-4073-A2F2-8486F4C029B2}" name="Sum" dataDxfId="37"/>
    <tableColumn id="6" xr3:uid="{53AC10C2-FBDB-4509-B71A-201B3CC961EB}" name="Avg (s)" dataDxfId="36">
      <calculatedColumnFormula>AVERAGE(Table11617[[#This Row],[Trial 1 (s)]:[Trial 5 (s)]])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BC6651C-776B-4240-93C0-4C82F9D68451}" name="Table13418" displayName="Table13418" ref="J10:M15" totalsRowShown="0" headerRowDxfId="35" headerRowBorderDxfId="33" tableBorderDxfId="34" totalsRowBorderDxfId="32">
  <autoFilter ref="J10:M15" xr:uid="{EBC6651C-776B-4240-93C0-4C82F9D68451}"/>
  <tableColumns count="4">
    <tableColumn id="1" xr3:uid="{73FFB59D-62D1-4031-A6C1-D72A94153DD7}" name="Size" dataDxfId="31"/>
    <tableColumn id="2" xr3:uid="{8CB1095B-9A0A-47E8-8096-BCE41C9717EA}" name="Basic Avg" dataDxfId="30">
      <calculatedColumnFormula>H3</calculatedColumnFormula>
    </tableColumn>
    <tableColumn id="3" xr3:uid="{AD1CE6AB-EE58-4CFD-815E-684A35DD6A64}" name="Altered Avg" dataDxfId="29">
      <calculatedColumnFormula>H11</calculatedColumnFormula>
    </tableColumn>
    <tableColumn id="4" xr3:uid="{E56BF1AA-4B0A-4676-9A50-FE72A24E390B}" name="Speedup" dataDxfId="28">
      <calculatedColumnFormula>H3/H11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C8941EE-C3FA-4904-ADE1-8AD205CDCC4D}" name="Table1161719" displayName="Table1161719" ref="A18:H26" totalsRowShown="0" headerRowDxfId="27" headerRowBorderDxfId="25" tableBorderDxfId="26" totalsRowBorderDxfId="24">
  <autoFilter ref="A18:H26" xr:uid="{2C8941EE-C3FA-4904-ADE1-8AD205CDCC4D}"/>
  <tableColumns count="8">
    <tableColumn id="1" xr3:uid="{A74854EB-B2FD-4B43-AB72-785BB8BA4236}" name="Size" dataDxfId="17"/>
    <tableColumn id="2" xr3:uid="{B2ECEE22-87DA-4230-9805-7D19455883BD}" name="Trial 1 (s)" dataDxfId="18"/>
    <tableColumn id="3" xr3:uid="{BBA12442-5E3F-47B0-888E-184279B06B02}" name="Trial 2 (s)" dataDxfId="23"/>
    <tableColumn id="4" xr3:uid="{EDE573E6-3385-4904-91B7-1669ECA16DC8}" name="Trial 3 (s)" dataDxfId="22"/>
    <tableColumn id="7" xr3:uid="{18DD013D-A0C0-4F8D-B62C-684365AC4907}" name="Trial 4 (s)" dataDxfId="21"/>
    <tableColumn id="8" xr3:uid="{E5BBD111-2620-4D8E-B0E5-208073F0B762}" name="Trial 5 (s)" dataDxfId="20"/>
    <tableColumn id="5" xr3:uid="{73590880-F5A9-434A-AFB4-58ECAEF9217C}" name="Sum" dataDxfId="16"/>
    <tableColumn id="6" xr3:uid="{2672BB7D-6B87-45F7-A6E7-D21674B357A8}" name="Avg (s)" dataDxfId="19">
      <calculatedColumnFormula>AVERAGE(Table1161719[[#This Row],[Trial 1 (s)]:[Trial 5 (s)]])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69635C-77E2-4AF4-92C6-EE53C1F573B6}" name="Table1341820" displayName="Table1341820" ref="J18:M26" totalsRowShown="0" headerRowDxfId="15" headerRowBorderDxfId="13" tableBorderDxfId="14" totalsRowBorderDxfId="12">
  <autoFilter ref="J18:M26" xr:uid="{3469635C-77E2-4AF4-92C6-EE53C1F573B6}"/>
  <tableColumns count="4">
    <tableColumn id="1" xr3:uid="{7EDEC6A0-61C3-49A3-B4B3-8387F6BBEF76}" name="Size" dataDxfId="10"/>
    <tableColumn id="2" xr3:uid="{585DC80D-C6D7-48A5-9742-DEFF51F036FB}" name="Basic" dataDxfId="1">
      <calculatedColumnFormula>$H$7</calculatedColumnFormula>
    </tableColumn>
    <tableColumn id="3" xr3:uid="{E0131E57-86C8-406E-854C-DDC82B059414}" name="Blocked" dataDxfId="11">
      <calculatedColumnFormula>H19</calculatedColumnFormula>
    </tableColumn>
    <tableColumn id="4" xr3:uid="{C844BFAC-B46A-40FA-B2DA-F35841B55C60}" name="Speedup" dataDxfId="0">
      <calculatedColumnFormula>$H$7/H19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AF4F454-7867-45B3-AFC4-01946F3D6D0D}" name="Table134182021" displayName="Table134182021" ref="O18:R26" totalsRowShown="0" headerRowDxfId="9" headerRowBorderDxfId="7" tableBorderDxfId="8" totalsRowBorderDxfId="6">
  <autoFilter ref="O18:R26" xr:uid="{DAF4F454-7867-45B3-AFC4-01946F3D6D0D}"/>
  <tableColumns count="4">
    <tableColumn id="1" xr3:uid="{A722E721-FD2D-4243-B098-B541711F98CF}" name="Size" dataDxfId="5"/>
    <tableColumn id="2" xr3:uid="{ED8A2048-041A-451C-B573-5613E73AAEA5}" name="Optimized" dataDxfId="4">
      <calculatedColumnFormula>$H$15</calculatedColumnFormula>
    </tableColumn>
    <tableColumn id="3" xr3:uid="{F659208C-1FAA-4131-BFEB-970FEF044C04}" name="Blocked" dataDxfId="3">
      <calculatedColumnFormula>H19</calculatedColumnFormula>
    </tableColumn>
    <tableColumn id="4" xr3:uid="{8A303BF0-4E56-4572-A397-2C1EC8DADDB9}" name="Speedup" dataDxfId="2">
      <calculatedColumnFormula>$H$15/H19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36CF-5970-49DC-B1BE-6CB7023D6D3F}">
  <dimension ref="A1:K47"/>
  <sheetViews>
    <sheetView tabSelected="1" topLeftCell="A13" zoomScaleNormal="100" workbookViewId="0">
      <selection activeCell="N25" sqref="N25"/>
    </sheetView>
  </sheetViews>
  <sheetFormatPr defaultRowHeight="14.5" x14ac:dyDescent="0.35"/>
  <cols>
    <col min="1" max="1" width="10.453125" customWidth="1"/>
    <col min="5" max="5" width="10.81640625" bestFit="1" customWidth="1"/>
    <col min="12" max="12" width="10.81640625" bestFit="1" customWidth="1"/>
  </cols>
  <sheetData>
    <row r="1" spans="1:11" x14ac:dyDescent="0.35">
      <c r="A1" s="10" t="s">
        <v>15</v>
      </c>
      <c r="B1" s="10"/>
      <c r="C1" s="10"/>
      <c r="D1" s="10"/>
      <c r="E1" s="10"/>
      <c r="F1" s="10"/>
    </row>
    <row r="2" spans="1:1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11" x14ac:dyDescent="0.35">
      <c r="A3" s="8" t="s">
        <v>6</v>
      </c>
      <c r="B3" s="4">
        <v>0</v>
      </c>
      <c r="C3" s="4">
        <v>1E-3</v>
      </c>
      <c r="D3" s="4">
        <v>0</v>
      </c>
      <c r="E3" s="4">
        <v>2530353</v>
      </c>
      <c r="F3" s="5">
        <v>3.3300000000000002E-4</v>
      </c>
    </row>
    <row r="4" spans="1:11" x14ac:dyDescent="0.35">
      <c r="A4" s="8" t="s">
        <v>7</v>
      </c>
      <c r="B4" s="4">
        <v>3.0000000000000001E-3</v>
      </c>
      <c r="C4" s="4">
        <v>2E-3</v>
      </c>
      <c r="D4" s="4">
        <v>2E-3</v>
      </c>
      <c r="E4" s="4">
        <v>20311014</v>
      </c>
      <c r="F4" s="5">
        <v>2.6670000000000001E-3</v>
      </c>
    </row>
    <row r="5" spans="1:11" x14ac:dyDescent="0.35">
      <c r="A5" s="8" t="s">
        <v>8</v>
      </c>
      <c r="B5" s="4">
        <v>2.1000000000000001E-2</v>
      </c>
      <c r="C5" s="4">
        <v>2.1000000000000001E-2</v>
      </c>
      <c r="D5" s="4">
        <v>2.4E-2</v>
      </c>
      <c r="E5" s="4">
        <v>161353236</v>
      </c>
      <c r="F5" s="5">
        <v>2.1999999999999999E-2</v>
      </c>
    </row>
    <row r="6" spans="1:11" x14ac:dyDescent="0.35">
      <c r="A6" s="8" t="s">
        <v>9</v>
      </c>
      <c r="B6" s="4">
        <v>6.5000000000000002E-2</v>
      </c>
      <c r="C6" s="4">
        <v>6.6000000000000003E-2</v>
      </c>
      <c r="D6" s="4">
        <v>6.6000000000000003E-2</v>
      </c>
      <c r="E6" s="4">
        <v>546277256</v>
      </c>
      <c r="F6" s="5">
        <v>6.5667000000000003E-2</v>
      </c>
    </row>
    <row r="7" spans="1:11" x14ac:dyDescent="0.35">
      <c r="A7" s="9" t="s">
        <v>10</v>
      </c>
      <c r="B7" s="6">
        <v>0.17199999999999999</v>
      </c>
      <c r="C7" s="6">
        <v>0.13900000000000001</v>
      </c>
      <c r="D7" s="6">
        <v>0.13700000000000001</v>
      </c>
      <c r="E7" s="6">
        <v>1295288705</v>
      </c>
      <c r="F7" s="7">
        <v>0.14933299999999999</v>
      </c>
    </row>
    <row r="9" spans="1:11" x14ac:dyDescent="0.35">
      <c r="A9" s="10" t="s">
        <v>16</v>
      </c>
      <c r="B9" s="10"/>
      <c r="C9" s="10"/>
      <c r="D9" s="10"/>
      <c r="E9" s="10"/>
      <c r="F9" s="10"/>
      <c r="H9" s="10" t="s">
        <v>11</v>
      </c>
      <c r="I9" s="10"/>
      <c r="J9" s="10"/>
      <c r="K9" s="10"/>
    </row>
    <row r="10" spans="1:11" x14ac:dyDescent="0.35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3" t="s">
        <v>5</v>
      </c>
      <c r="H10" s="1" t="s">
        <v>0</v>
      </c>
      <c r="I10" s="2" t="s">
        <v>12</v>
      </c>
      <c r="J10" s="2" t="s">
        <v>13</v>
      </c>
      <c r="K10" s="2" t="s">
        <v>14</v>
      </c>
    </row>
    <row r="11" spans="1:11" x14ac:dyDescent="0.35">
      <c r="A11" s="8" t="s">
        <v>6</v>
      </c>
      <c r="B11" s="4">
        <v>0</v>
      </c>
      <c r="C11" s="4">
        <v>0</v>
      </c>
      <c r="D11" s="4">
        <v>1E-3</v>
      </c>
      <c r="E11" s="4">
        <v>2530353</v>
      </c>
      <c r="F11" s="5">
        <v>3.3300000000000002E-4</v>
      </c>
      <c r="H11" s="8" t="s">
        <v>6</v>
      </c>
      <c r="I11" s="4">
        <f>F3</f>
        <v>3.3300000000000002E-4</v>
      </c>
      <c r="J11" s="4">
        <f>F11</f>
        <v>3.3300000000000002E-4</v>
      </c>
      <c r="K11" s="4">
        <f>F3/F11</f>
        <v>1</v>
      </c>
    </row>
    <row r="12" spans="1:11" x14ac:dyDescent="0.35">
      <c r="A12" s="8" t="s">
        <v>7</v>
      </c>
      <c r="B12" s="4">
        <v>4.0000000000000001E-3</v>
      </c>
      <c r="C12" s="4">
        <v>2E-3</v>
      </c>
      <c r="D12" s="4">
        <v>2E-3</v>
      </c>
      <c r="E12" s="4">
        <v>20311014</v>
      </c>
      <c r="F12" s="5">
        <f>AVERAGE(Table13[[#This Row],[Trial 1 (s)]:[Trial 3 (s)]])</f>
        <v>2.6666666666666666E-3</v>
      </c>
      <c r="H12" s="8" t="s">
        <v>7</v>
      </c>
      <c r="I12" s="4">
        <f>F4</f>
        <v>2.6670000000000001E-3</v>
      </c>
      <c r="J12" s="4">
        <f>F12</f>
        <v>2.6666666666666666E-3</v>
      </c>
      <c r="K12" s="4">
        <f>F4/F12</f>
        <v>1.0001250000000002</v>
      </c>
    </row>
    <row r="13" spans="1:11" x14ac:dyDescent="0.35">
      <c r="A13" s="8" t="s">
        <v>8</v>
      </c>
      <c r="B13" s="4">
        <v>2.1000000000000001E-2</v>
      </c>
      <c r="C13" s="4">
        <v>2.1000000000000001E-2</v>
      </c>
      <c r="D13" s="4">
        <v>2.1000000000000001E-2</v>
      </c>
      <c r="E13" s="4">
        <v>161353236</v>
      </c>
      <c r="F13" s="5">
        <f>AVERAGE(Table13[[#This Row],[Trial 1 (s)]:[Trial 3 (s)]])</f>
        <v>2.1000000000000001E-2</v>
      </c>
      <c r="H13" s="8" t="s">
        <v>8</v>
      </c>
      <c r="I13" s="4">
        <f>F5</f>
        <v>2.1999999999999999E-2</v>
      </c>
      <c r="J13" s="4">
        <f>F13</f>
        <v>2.1000000000000001E-2</v>
      </c>
      <c r="K13" s="4">
        <f>F5/F13</f>
        <v>1.0476190476190474</v>
      </c>
    </row>
    <row r="14" spans="1:11" x14ac:dyDescent="0.35">
      <c r="A14" s="8" t="s">
        <v>9</v>
      </c>
      <c r="B14" s="4">
        <v>6.3E-2</v>
      </c>
      <c r="C14" s="4">
        <v>0.06</v>
      </c>
      <c r="D14" s="4">
        <v>5.8000000000000003E-2</v>
      </c>
      <c r="E14" s="4">
        <v>546277256</v>
      </c>
      <c r="F14" s="5">
        <f>AVERAGE(Table13[[#This Row],[Trial 1 (s)]:[Trial 3 (s)]])</f>
        <v>6.0333333333333329E-2</v>
      </c>
      <c r="H14" s="8" t="s">
        <v>9</v>
      </c>
      <c r="I14" s="4">
        <f>F6</f>
        <v>6.5667000000000003E-2</v>
      </c>
      <c r="J14" s="4">
        <f>F14</f>
        <v>6.0333333333333329E-2</v>
      </c>
      <c r="K14" s="4">
        <f>F6/F14</f>
        <v>1.0884033149171273</v>
      </c>
    </row>
    <row r="15" spans="1:11" x14ac:dyDescent="0.35">
      <c r="A15" s="9" t="s">
        <v>10</v>
      </c>
      <c r="B15" s="4">
        <v>0.13300000000000001</v>
      </c>
      <c r="C15" s="6">
        <v>0.128</v>
      </c>
      <c r="D15" s="4">
        <v>0.14000000000000001</v>
      </c>
      <c r="E15" s="6">
        <v>1295288705</v>
      </c>
      <c r="F15" s="5">
        <f>AVERAGE(Table13[[#This Row],[Trial 1 (s)]:[Trial 3 (s)]])</f>
        <v>0.13366666666666668</v>
      </c>
      <c r="H15" s="9" t="s">
        <v>10</v>
      </c>
      <c r="I15" s="4">
        <f>F7</f>
        <v>0.14933299999999999</v>
      </c>
      <c r="J15" s="4">
        <f>F15</f>
        <v>0.13366666666666668</v>
      </c>
      <c r="K15" s="4">
        <f>F7/F15</f>
        <v>1.1172044887780548</v>
      </c>
    </row>
    <row r="17" spans="1:11" x14ac:dyDescent="0.35">
      <c r="A17" s="10" t="s">
        <v>17</v>
      </c>
      <c r="B17" s="10"/>
      <c r="C17" s="10"/>
      <c r="D17" s="10"/>
      <c r="E17" s="10"/>
      <c r="F17" s="10"/>
      <c r="H17" s="10" t="s">
        <v>25</v>
      </c>
      <c r="I17" s="10"/>
      <c r="J17" s="10"/>
      <c r="K17" s="10"/>
    </row>
    <row r="18" spans="1:11" x14ac:dyDescent="0.35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3" t="s">
        <v>5</v>
      </c>
      <c r="H18" s="1" t="s">
        <v>0</v>
      </c>
      <c r="I18" s="2" t="s">
        <v>12</v>
      </c>
      <c r="J18" s="2" t="s">
        <v>13</v>
      </c>
      <c r="K18" s="2" t="s">
        <v>14</v>
      </c>
    </row>
    <row r="19" spans="1:11" x14ac:dyDescent="0.35">
      <c r="A19" s="8" t="s">
        <v>6</v>
      </c>
      <c r="B19" s="4">
        <v>0</v>
      </c>
      <c r="C19" s="4">
        <v>0</v>
      </c>
      <c r="D19" s="4">
        <v>1E-3</v>
      </c>
      <c r="E19" s="4">
        <v>2530353</v>
      </c>
      <c r="F19" s="5">
        <f>AVERAGE(Table135[[#This Row],[Trial 1 (s)]:[Trial 3 (s)]])</f>
        <v>3.3333333333333332E-4</v>
      </c>
      <c r="H19" s="8" t="s">
        <v>6</v>
      </c>
      <c r="I19" s="4">
        <f>F3</f>
        <v>3.3300000000000002E-4</v>
      </c>
      <c r="J19" s="4">
        <f>F19</f>
        <v>3.3333333333333332E-4</v>
      </c>
      <c r="K19" s="4">
        <f>F3/F19</f>
        <v>0.99900000000000011</v>
      </c>
    </row>
    <row r="20" spans="1:11" x14ac:dyDescent="0.35">
      <c r="A20" s="8" t="s">
        <v>7</v>
      </c>
      <c r="B20" s="4">
        <v>3.0000000000000001E-3</v>
      </c>
      <c r="C20" s="4">
        <v>2E-3</v>
      </c>
      <c r="D20" s="4">
        <v>3.0000000000000001E-3</v>
      </c>
      <c r="E20" s="4">
        <v>20311014</v>
      </c>
      <c r="F20" s="5">
        <f>AVERAGE(Table135[[#This Row],[Trial 1 (s)]:[Trial 3 (s)]])</f>
        <v>2.6666666666666666E-3</v>
      </c>
      <c r="H20" s="8" t="s">
        <v>7</v>
      </c>
      <c r="I20" s="4">
        <f>F4</f>
        <v>2.6670000000000001E-3</v>
      </c>
      <c r="J20" s="4">
        <f>F20</f>
        <v>2.6666666666666666E-3</v>
      </c>
      <c r="K20" s="4">
        <f>F4/F20</f>
        <v>1.0001250000000002</v>
      </c>
    </row>
    <row r="21" spans="1:11" x14ac:dyDescent="0.35">
      <c r="A21" s="8" t="s">
        <v>8</v>
      </c>
      <c r="B21" s="4">
        <v>1.9E-2</v>
      </c>
      <c r="C21" s="4">
        <v>2.1000000000000001E-2</v>
      </c>
      <c r="D21" s="4">
        <v>2.1000000000000001E-2</v>
      </c>
      <c r="E21" s="4">
        <v>161353236</v>
      </c>
      <c r="F21" s="5">
        <f>AVERAGE(Table135[[#This Row],[Trial 1 (s)]:[Trial 3 (s)]])</f>
        <v>2.0333333333333332E-2</v>
      </c>
      <c r="H21" s="8" t="s">
        <v>8</v>
      </c>
      <c r="I21" s="4">
        <f>F5</f>
        <v>2.1999999999999999E-2</v>
      </c>
      <c r="J21" s="4">
        <f>F21</f>
        <v>2.0333333333333332E-2</v>
      </c>
      <c r="K21" s="4">
        <f>F5/F21</f>
        <v>1.0819672131147542</v>
      </c>
    </row>
    <row r="22" spans="1:11" x14ac:dyDescent="0.35">
      <c r="A22" s="8" t="s">
        <v>9</v>
      </c>
      <c r="B22" s="4">
        <v>6.2E-2</v>
      </c>
      <c r="C22" s="4">
        <v>6.3E-2</v>
      </c>
      <c r="D22" s="4">
        <v>6.4000000000000001E-2</v>
      </c>
      <c r="E22" s="4">
        <v>546277256</v>
      </c>
      <c r="F22" s="5">
        <f>AVERAGE(Table135[[#This Row],[Trial 1 (s)]:[Trial 3 (s)]])</f>
        <v>6.3E-2</v>
      </c>
      <c r="H22" s="8" t="s">
        <v>9</v>
      </c>
      <c r="I22" s="4">
        <f>F6</f>
        <v>6.5667000000000003E-2</v>
      </c>
      <c r="J22" s="4">
        <f>F22</f>
        <v>6.3E-2</v>
      </c>
      <c r="K22" s="4">
        <f>F6/F22</f>
        <v>1.0423333333333333</v>
      </c>
    </row>
    <row r="23" spans="1:11" x14ac:dyDescent="0.35">
      <c r="A23" s="9" t="s">
        <v>10</v>
      </c>
      <c r="B23" s="4">
        <v>0.13400000000000001</v>
      </c>
      <c r="C23" s="6">
        <v>0.13400000000000001</v>
      </c>
      <c r="D23" s="4">
        <v>0.13800000000000001</v>
      </c>
      <c r="E23" s="6">
        <v>1295288705</v>
      </c>
      <c r="F23" s="5">
        <f>AVERAGE(Table135[[#This Row],[Trial 1 (s)]:[Trial 3 (s)]])</f>
        <v>0.13533333333333333</v>
      </c>
      <c r="H23" s="9" t="s">
        <v>10</v>
      </c>
      <c r="I23" s="4">
        <f>F7</f>
        <v>0.14933299999999999</v>
      </c>
      <c r="J23" s="4">
        <f>F23</f>
        <v>0.13533333333333333</v>
      </c>
      <c r="K23" s="4">
        <f>F7/F23</f>
        <v>1.1034458128078817</v>
      </c>
    </row>
    <row r="25" spans="1:11" x14ac:dyDescent="0.35">
      <c r="A25" s="10" t="s">
        <v>18</v>
      </c>
      <c r="B25" s="10"/>
      <c r="C25" s="10"/>
      <c r="D25" s="10"/>
      <c r="E25" s="10"/>
      <c r="F25" s="10"/>
      <c r="H25" s="10" t="s">
        <v>19</v>
      </c>
      <c r="I25" s="10"/>
      <c r="J25" s="10"/>
      <c r="K25" s="10"/>
    </row>
    <row r="26" spans="1:11" x14ac:dyDescent="0.35">
      <c r="A26" s="1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3" t="s">
        <v>5</v>
      </c>
      <c r="H26" s="1" t="s">
        <v>0</v>
      </c>
      <c r="I26" s="2" t="s">
        <v>12</v>
      </c>
      <c r="J26" s="2" t="s">
        <v>13</v>
      </c>
      <c r="K26" s="2" t="s">
        <v>14</v>
      </c>
    </row>
    <row r="27" spans="1:11" x14ac:dyDescent="0.35">
      <c r="A27" s="8" t="s">
        <v>6</v>
      </c>
      <c r="B27" s="4">
        <v>0</v>
      </c>
      <c r="C27" s="4">
        <v>0</v>
      </c>
      <c r="D27" s="4">
        <v>0</v>
      </c>
      <c r="E27" s="4">
        <v>2530353</v>
      </c>
      <c r="F27" s="5">
        <v>0</v>
      </c>
      <c r="H27" s="8" t="s">
        <v>6</v>
      </c>
      <c r="I27" s="4">
        <f>F11</f>
        <v>3.3300000000000002E-4</v>
      </c>
      <c r="J27" s="4">
        <f>F27</f>
        <v>0</v>
      </c>
      <c r="K27" s="4" t="s">
        <v>20</v>
      </c>
    </row>
    <row r="28" spans="1:11" x14ac:dyDescent="0.35">
      <c r="A28" s="8" t="s">
        <v>7</v>
      </c>
      <c r="B28" s="4">
        <v>5.0000000000000001E-3</v>
      </c>
      <c r="C28" s="4">
        <v>3.0000000000000001E-3</v>
      </c>
      <c r="D28" s="4">
        <v>3.0000000000000001E-3</v>
      </c>
      <c r="E28" s="4">
        <v>20311014</v>
      </c>
      <c r="F28" s="5">
        <f>AVERAGE(Table1357[[#This Row],[Trial 1 (s)]:[Trial 3 (s)]])</f>
        <v>3.6666666666666666E-3</v>
      </c>
      <c r="H28" s="8" t="s">
        <v>7</v>
      </c>
      <c r="I28" s="4">
        <f>F12</f>
        <v>2.6666666666666666E-3</v>
      </c>
      <c r="J28" s="4">
        <f>F28</f>
        <v>3.6666666666666666E-3</v>
      </c>
      <c r="K28" s="4">
        <f>F12/F28</f>
        <v>0.72727272727272729</v>
      </c>
    </row>
    <row r="29" spans="1:11" x14ac:dyDescent="0.35">
      <c r="A29" s="8" t="s">
        <v>8</v>
      </c>
      <c r="B29" s="4">
        <v>1.7000000000000001E-2</v>
      </c>
      <c r="C29" s="4">
        <v>2.1999999999999999E-2</v>
      </c>
      <c r="D29" s="4">
        <v>2.1000000000000001E-2</v>
      </c>
      <c r="E29" s="4">
        <v>161353236</v>
      </c>
      <c r="F29" s="5">
        <f>AVERAGE(Table1357[[#This Row],[Trial 1 (s)]:[Trial 3 (s)]])</f>
        <v>0.02</v>
      </c>
      <c r="H29" s="8" t="s">
        <v>8</v>
      </c>
      <c r="I29" s="4">
        <f>F13</f>
        <v>2.1000000000000001E-2</v>
      </c>
      <c r="J29" s="4">
        <f>F29</f>
        <v>0.02</v>
      </c>
      <c r="K29" s="4">
        <f>F13/F29</f>
        <v>1.05</v>
      </c>
    </row>
    <row r="30" spans="1:11" x14ac:dyDescent="0.35">
      <c r="A30" s="8" t="s">
        <v>9</v>
      </c>
      <c r="B30" s="4">
        <v>8.5000000000000006E-2</v>
      </c>
      <c r="C30" s="4">
        <v>0.06</v>
      </c>
      <c r="D30" s="4">
        <v>6.5000000000000002E-2</v>
      </c>
      <c r="E30" s="4">
        <v>546277256</v>
      </c>
      <c r="F30" s="5">
        <f>AVERAGE(Table1357[[#This Row],[Trial 1 (s)]:[Trial 3 (s)]])</f>
        <v>7.0000000000000007E-2</v>
      </c>
      <c r="H30" s="8" t="s">
        <v>9</v>
      </c>
      <c r="I30" s="4">
        <f>F14</f>
        <v>6.0333333333333329E-2</v>
      </c>
      <c r="J30" s="4">
        <f>F30</f>
        <v>7.0000000000000007E-2</v>
      </c>
      <c r="K30" s="4">
        <f>F14/F30</f>
        <v>0.86190476190476173</v>
      </c>
    </row>
    <row r="31" spans="1:11" x14ac:dyDescent="0.35">
      <c r="A31" s="9" t="s">
        <v>10</v>
      </c>
      <c r="B31" s="4">
        <v>0.14499999999999999</v>
      </c>
      <c r="C31" s="6">
        <v>0.14799999999999999</v>
      </c>
      <c r="D31" s="4">
        <v>0.13700000000000001</v>
      </c>
      <c r="E31" s="6">
        <v>1295288705</v>
      </c>
      <c r="F31" s="5">
        <f>AVERAGE(Table1357[[#This Row],[Trial 1 (s)]:[Trial 3 (s)]])</f>
        <v>0.14333333333333334</v>
      </c>
      <c r="H31" s="9" t="s">
        <v>10</v>
      </c>
      <c r="I31" s="4">
        <f>F15</f>
        <v>0.13366666666666668</v>
      </c>
      <c r="J31" s="4">
        <f>F31</f>
        <v>0.14333333333333334</v>
      </c>
      <c r="K31" s="4">
        <f>F15/F31</f>
        <v>0.93255813953488376</v>
      </c>
    </row>
    <row r="33" spans="1:11" x14ac:dyDescent="0.35">
      <c r="A33" s="10" t="s">
        <v>21</v>
      </c>
      <c r="B33" s="10"/>
      <c r="C33" s="10"/>
      <c r="D33" s="10"/>
      <c r="E33" s="10"/>
      <c r="F33" s="10"/>
      <c r="H33" s="10" t="s">
        <v>22</v>
      </c>
      <c r="I33" s="10"/>
      <c r="J33" s="10"/>
      <c r="K33" s="10"/>
    </row>
    <row r="34" spans="1:11" x14ac:dyDescent="0.35">
      <c r="A34" s="1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3" t="s">
        <v>5</v>
      </c>
      <c r="H34" s="1" t="s">
        <v>0</v>
      </c>
      <c r="I34" s="2" t="s">
        <v>12</v>
      </c>
      <c r="J34" s="2" t="s">
        <v>13</v>
      </c>
      <c r="K34" s="2" t="s">
        <v>14</v>
      </c>
    </row>
    <row r="35" spans="1:11" x14ac:dyDescent="0.35">
      <c r="A35" s="8" t="s">
        <v>6</v>
      </c>
      <c r="B35" s="4">
        <v>0</v>
      </c>
      <c r="C35" s="4">
        <v>0</v>
      </c>
      <c r="D35" s="4">
        <v>0</v>
      </c>
      <c r="E35" s="4">
        <v>2530353</v>
      </c>
      <c r="F35" s="5">
        <v>0</v>
      </c>
      <c r="H35" s="8" t="s">
        <v>6</v>
      </c>
      <c r="I35" s="4">
        <f>F19</f>
        <v>3.3333333333333332E-4</v>
      </c>
      <c r="J35" s="4">
        <f>F35</f>
        <v>0</v>
      </c>
      <c r="K35" s="4" t="s">
        <v>20</v>
      </c>
    </row>
    <row r="36" spans="1:11" x14ac:dyDescent="0.35">
      <c r="A36" s="8" t="s">
        <v>7</v>
      </c>
      <c r="B36" s="4">
        <v>2E-3</v>
      </c>
      <c r="C36" s="4">
        <v>3.0000000000000001E-3</v>
      </c>
      <c r="D36" s="4">
        <v>3.0000000000000001E-3</v>
      </c>
      <c r="E36" s="4">
        <v>20311014</v>
      </c>
      <c r="F36" s="5">
        <f>AVERAGE(Table13579[[#This Row],[Trial 1 (s)]:[Trial 3 (s)]])</f>
        <v>2.6666666666666666E-3</v>
      </c>
      <c r="H36" s="8" t="s">
        <v>7</v>
      </c>
      <c r="I36" s="4">
        <f>F20</f>
        <v>2.6666666666666666E-3</v>
      </c>
      <c r="J36" s="4">
        <f>F36</f>
        <v>2.6666666666666666E-3</v>
      </c>
      <c r="K36" s="4">
        <f>F20/F36</f>
        <v>1</v>
      </c>
    </row>
    <row r="37" spans="1:11" x14ac:dyDescent="0.35">
      <c r="A37" s="8" t="s">
        <v>8</v>
      </c>
      <c r="B37" s="4">
        <v>2.4E-2</v>
      </c>
      <c r="C37" s="4">
        <v>2.5000000000000001E-2</v>
      </c>
      <c r="D37" s="4">
        <v>2.3E-2</v>
      </c>
      <c r="E37" s="4">
        <v>161353236</v>
      </c>
      <c r="F37" s="5">
        <f>AVERAGE(Table13579[[#This Row],[Trial 1 (s)]:[Trial 3 (s)]])</f>
        <v>2.4000000000000004E-2</v>
      </c>
      <c r="H37" s="8" t="s">
        <v>8</v>
      </c>
      <c r="I37" s="4">
        <f>F21</f>
        <v>2.0333333333333332E-2</v>
      </c>
      <c r="J37" s="4">
        <f>F37</f>
        <v>2.4000000000000004E-2</v>
      </c>
      <c r="K37" s="4">
        <f>F21/F37</f>
        <v>0.84722222222222199</v>
      </c>
    </row>
    <row r="38" spans="1:11" x14ac:dyDescent="0.35">
      <c r="A38" s="8" t="s">
        <v>9</v>
      </c>
      <c r="B38" s="4">
        <v>6.8000000000000005E-2</v>
      </c>
      <c r="C38" s="4">
        <v>9.4E-2</v>
      </c>
      <c r="D38" s="4">
        <v>9.7000000000000003E-2</v>
      </c>
      <c r="E38" s="4">
        <v>546277256</v>
      </c>
      <c r="F38" s="5">
        <f>AVERAGE(Table13579[[#This Row],[Trial 1 (s)]:[Trial 3 (s)]])</f>
        <v>8.6333333333333331E-2</v>
      </c>
      <c r="H38" s="8" t="s">
        <v>9</v>
      </c>
      <c r="I38" s="4">
        <f>F22</f>
        <v>6.3E-2</v>
      </c>
      <c r="J38" s="4">
        <f>F38</f>
        <v>8.6333333333333331E-2</v>
      </c>
      <c r="K38" s="4">
        <f>F22/F38</f>
        <v>0.72972972972972971</v>
      </c>
    </row>
    <row r="39" spans="1:11" x14ac:dyDescent="0.35">
      <c r="A39" s="9" t="s">
        <v>10</v>
      </c>
      <c r="B39" s="4">
        <v>0.154</v>
      </c>
      <c r="C39" s="6">
        <v>0.159</v>
      </c>
      <c r="D39" s="4">
        <v>0.154</v>
      </c>
      <c r="E39" s="6">
        <v>1295288705</v>
      </c>
      <c r="F39" s="5">
        <f>AVERAGE(Table13579[[#This Row],[Trial 1 (s)]:[Trial 3 (s)]])</f>
        <v>0.15566666666666665</v>
      </c>
      <c r="H39" s="9" t="s">
        <v>10</v>
      </c>
      <c r="I39" s="4">
        <f>F23</f>
        <v>0.13533333333333333</v>
      </c>
      <c r="J39" s="4">
        <f>F39</f>
        <v>0.15566666666666665</v>
      </c>
      <c r="K39" s="4">
        <f>F23/F39</f>
        <v>0.86937901498929349</v>
      </c>
    </row>
    <row r="41" spans="1:11" x14ac:dyDescent="0.35">
      <c r="A41" s="10" t="s">
        <v>23</v>
      </c>
      <c r="B41" s="10"/>
      <c r="C41" s="10"/>
      <c r="D41" s="10"/>
      <c r="E41" s="10"/>
      <c r="F41" s="10"/>
      <c r="H41" s="10" t="s">
        <v>24</v>
      </c>
      <c r="I41" s="10"/>
      <c r="J41" s="10"/>
      <c r="K41" s="10"/>
    </row>
    <row r="42" spans="1:11" x14ac:dyDescent="0.35">
      <c r="A42" s="1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3" t="s">
        <v>5</v>
      </c>
      <c r="H42" s="1" t="s">
        <v>0</v>
      </c>
      <c r="I42" s="2" t="s">
        <v>12</v>
      </c>
      <c r="J42" s="2" t="s">
        <v>13</v>
      </c>
      <c r="K42" s="2" t="s">
        <v>14</v>
      </c>
    </row>
    <row r="43" spans="1:11" x14ac:dyDescent="0.35">
      <c r="A43" s="8" t="s">
        <v>6</v>
      </c>
      <c r="B43" s="4">
        <v>0</v>
      </c>
      <c r="C43" s="4">
        <v>0</v>
      </c>
      <c r="D43" s="4">
        <v>0</v>
      </c>
      <c r="E43" s="4">
        <v>2530353</v>
      </c>
      <c r="F43" s="5">
        <v>0</v>
      </c>
      <c r="H43" s="8" t="s">
        <v>6</v>
      </c>
      <c r="I43" s="4">
        <f>F27</f>
        <v>0</v>
      </c>
      <c r="J43" s="4">
        <f>F43</f>
        <v>0</v>
      </c>
      <c r="K43" s="4" t="s">
        <v>20</v>
      </c>
    </row>
    <row r="44" spans="1:11" x14ac:dyDescent="0.35">
      <c r="A44" s="8" t="s">
        <v>7</v>
      </c>
      <c r="B44" s="4">
        <v>6.0000000000000001E-3</v>
      </c>
      <c r="C44" s="4">
        <v>3.0000000000000001E-3</v>
      </c>
      <c r="D44" s="4">
        <v>3.0000000000000001E-3</v>
      </c>
      <c r="E44" s="4">
        <v>20311014</v>
      </c>
      <c r="F44" s="5">
        <f>AVERAGE(Table1357911[[#This Row],[Trial 1 (s)]:[Trial 3 (s)]])</f>
        <v>4.0000000000000001E-3</v>
      </c>
      <c r="H44" s="8" t="s">
        <v>7</v>
      </c>
      <c r="I44" s="4">
        <f>F28</f>
        <v>3.6666666666666666E-3</v>
      </c>
      <c r="J44" s="4">
        <f>F44</f>
        <v>4.0000000000000001E-3</v>
      </c>
      <c r="K44" s="4">
        <f>F28/F44</f>
        <v>0.91666666666666663</v>
      </c>
    </row>
    <row r="45" spans="1:11" x14ac:dyDescent="0.35">
      <c r="A45" s="8" t="s">
        <v>8</v>
      </c>
      <c r="B45" s="4">
        <v>2.1000000000000001E-2</v>
      </c>
      <c r="C45" s="4">
        <v>2.1999999999999999E-2</v>
      </c>
      <c r="D45" s="4">
        <v>2.4E-2</v>
      </c>
      <c r="E45" s="4">
        <v>161353236</v>
      </c>
      <c r="F45" s="5">
        <f>AVERAGE(Table1357911[[#This Row],[Trial 1 (s)]:[Trial 3 (s)]])</f>
        <v>2.2333333333333334E-2</v>
      </c>
      <c r="H45" s="8" t="s">
        <v>8</v>
      </c>
      <c r="I45" s="4">
        <f>F29</f>
        <v>0.02</v>
      </c>
      <c r="J45" s="4">
        <f>F45</f>
        <v>2.2333333333333334E-2</v>
      </c>
      <c r="K45" s="4">
        <f>F29/F45</f>
        <v>0.89552238805970152</v>
      </c>
    </row>
    <row r="46" spans="1:11" x14ac:dyDescent="0.35">
      <c r="A46" s="8" t="s">
        <v>9</v>
      </c>
      <c r="B46" s="4">
        <v>8.7999999999999995E-2</v>
      </c>
      <c r="C46" s="4">
        <v>7.0999999999999994E-2</v>
      </c>
      <c r="D46" s="4">
        <v>6.3E-2</v>
      </c>
      <c r="E46" s="4">
        <v>546277256</v>
      </c>
      <c r="F46" s="5">
        <f>AVERAGE(Table1357911[[#This Row],[Trial 1 (s)]:[Trial 3 (s)]])</f>
        <v>7.3999999999999996E-2</v>
      </c>
      <c r="H46" s="8" t="s">
        <v>9</v>
      </c>
      <c r="I46" s="4">
        <f>F30</f>
        <v>7.0000000000000007E-2</v>
      </c>
      <c r="J46" s="4">
        <f>F46</f>
        <v>7.3999999999999996E-2</v>
      </c>
      <c r="K46" s="4">
        <f>F30/F46</f>
        <v>0.94594594594594605</v>
      </c>
    </row>
    <row r="47" spans="1:11" x14ac:dyDescent="0.35">
      <c r="A47" s="9" t="s">
        <v>10</v>
      </c>
      <c r="B47" s="4">
        <v>0.13200000000000001</v>
      </c>
      <c r="C47" s="6">
        <v>0.14699999999999999</v>
      </c>
      <c r="D47" s="4">
        <v>0.14199999999999999</v>
      </c>
      <c r="E47" s="6">
        <v>1295288705</v>
      </c>
      <c r="F47" s="5">
        <f>AVERAGE(Table1357911[[#This Row],[Trial 1 (s)]:[Trial 3 (s)]])</f>
        <v>0.14033333333333334</v>
      </c>
      <c r="H47" s="9" t="s">
        <v>10</v>
      </c>
      <c r="I47" s="4">
        <f>F31</f>
        <v>0.14333333333333334</v>
      </c>
      <c r="J47" s="4">
        <f>F47</f>
        <v>0.14033333333333334</v>
      </c>
      <c r="K47" s="4">
        <f>F31/F47</f>
        <v>1.0213776722090262</v>
      </c>
    </row>
  </sheetData>
  <mergeCells count="11">
    <mergeCell ref="A41:F41"/>
    <mergeCell ref="H41:K41"/>
    <mergeCell ref="A1:F1"/>
    <mergeCell ref="A9:F9"/>
    <mergeCell ref="H9:K9"/>
    <mergeCell ref="A17:F17"/>
    <mergeCell ref="H17:K17"/>
    <mergeCell ref="A25:F25"/>
    <mergeCell ref="H25:K25"/>
    <mergeCell ref="A33:F33"/>
    <mergeCell ref="H33:K33"/>
  </mergeCells>
  <phoneticPr fontId="2" type="noConversion"/>
  <pageMargins left="0.7" right="0.7" top="0.75" bottom="0.75" header="0.3" footer="0.3"/>
  <pageSetup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7BC8-D182-4E75-B5C8-9C1196A6D7CD}">
  <dimension ref="A1:R26"/>
  <sheetViews>
    <sheetView workbookViewId="0">
      <selection activeCell="O32" sqref="O32"/>
    </sheetView>
  </sheetViews>
  <sheetFormatPr defaultRowHeight="14.5" x14ac:dyDescent="0.35"/>
  <cols>
    <col min="5" max="5" width="10.81640625" bestFit="1" customWidth="1"/>
    <col min="7" max="7" width="10.81640625" bestFit="1" customWidth="1"/>
  </cols>
  <sheetData>
    <row r="1" spans="1:13" x14ac:dyDescent="0.35">
      <c r="A1" s="10" t="s">
        <v>15</v>
      </c>
      <c r="B1" s="10"/>
      <c r="C1" s="10"/>
      <c r="D1" s="10"/>
      <c r="E1" s="10"/>
      <c r="F1" s="10"/>
      <c r="G1" s="10"/>
      <c r="H1" s="10"/>
    </row>
    <row r="2" spans="1:13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26</v>
      </c>
      <c r="F2" s="2" t="s">
        <v>27</v>
      </c>
      <c r="G2" s="2" t="s">
        <v>4</v>
      </c>
      <c r="H2" s="3" t="s">
        <v>5</v>
      </c>
    </row>
    <row r="3" spans="1:13" x14ac:dyDescent="0.35">
      <c r="A3" s="8" t="s">
        <v>6</v>
      </c>
      <c r="B3" s="4">
        <v>1E-3</v>
      </c>
      <c r="C3" s="4">
        <v>1E-3</v>
      </c>
      <c r="D3" s="4">
        <v>0</v>
      </c>
      <c r="E3" s="4">
        <v>0</v>
      </c>
      <c r="F3" s="4">
        <v>1E-3</v>
      </c>
      <c r="G3" s="4">
        <v>2530353</v>
      </c>
      <c r="H3" s="5">
        <f>AVERAGE(Table116[[#This Row],[Trial 1 (s)]:[Trial 5 (s)]])</f>
        <v>6.0000000000000006E-4</v>
      </c>
    </row>
    <row r="4" spans="1:13" x14ac:dyDescent="0.35">
      <c r="A4" s="8" t="s">
        <v>7</v>
      </c>
      <c r="B4" s="4">
        <v>3.0000000000000001E-3</v>
      </c>
      <c r="C4" s="4">
        <v>3.0000000000000001E-3</v>
      </c>
      <c r="D4" s="4">
        <v>4.0000000000000001E-3</v>
      </c>
      <c r="E4" s="4">
        <v>4.0000000000000001E-3</v>
      </c>
      <c r="F4" s="4">
        <v>3.0000000000000001E-3</v>
      </c>
      <c r="G4" s="4">
        <v>20311014</v>
      </c>
      <c r="H4" s="5">
        <f>AVERAGE(Table116[[#This Row],[Trial 1 (s)]:[Trial 5 (s)]])</f>
        <v>3.4000000000000002E-3</v>
      </c>
    </row>
    <row r="5" spans="1:13" x14ac:dyDescent="0.35">
      <c r="A5" s="8" t="s">
        <v>8</v>
      </c>
      <c r="B5" s="4">
        <v>4.7E-2</v>
      </c>
      <c r="C5" s="4">
        <v>4.2999999999999997E-2</v>
      </c>
      <c r="D5" s="4">
        <v>4.4999999999999998E-2</v>
      </c>
      <c r="E5" s="4">
        <v>2.4E-2</v>
      </c>
      <c r="F5" s="4">
        <v>3.5999999999999997E-2</v>
      </c>
      <c r="G5" s="4">
        <v>161353236</v>
      </c>
      <c r="H5" s="5">
        <f>AVERAGE(Table116[[#This Row],[Trial 1 (s)]:[Trial 5 (s)]])</f>
        <v>3.9E-2</v>
      </c>
    </row>
    <row r="6" spans="1:13" x14ac:dyDescent="0.35">
      <c r="A6" s="8" t="s">
        <v>9</v>
      </c>
      <c r="B6" s="4">
        <v>0.109</v>
      </c>
      <c r="C6" s="4">
        <v>7.5999999999999998E-2</v>
      </c>
      <c r="D6" s="4">
        <v>9.1999999999999998E-2</v>
      </c>
      <c r="E6" s="4">
        <v>0.14199999999999999</v>
      </c>
      <c r="F6" s="4">
        <v>9.8000000000000004E-2</v>
      </c>
      <c r="G6" s="4">
        <v>546277256</v>
      </c>
      <c r="H6" s="5">
        <f>AVERAGE(Table116[[#This Row],[Trial 1 (s)]:[Trial 5 (s)]])</f>
        <v>0.10340000000000001</v>
      </c>
    </row>
    <row r="7" spans="1:13" x14ac:dyDescent="0.35">
      <c r="A7" s="9" t="s">
        <v>10</v>
      </c>
      <c r="B7" s="6">
        <v>0.20399999999999999</v>
      </c>
      <c r="C7" s="6">
        <v>0.23799999999999999</v>
      </c>
      <c r="D7" s="6">
        <v>0.20799999999999999</v>
      </c>
      <c r="E7" s="6">
        <v>0.24299999999999999</v>
      </c>
      <c r="F7" s="6">
        <v>0.16900000000000001</v>
      </c>
      <c r="G7" s="6">
        <v>1295288705</v>
      </c>
      <c r="H7" s="5">
        <f>AVERAGE(Table116[[#This Row],[Trial 1 (s)]:[Trial 5 (s)]])</f>
        <v>0.21239999999999998</v>
      </c>
    </row>
    <row r="9" spans="1:13" x14ac:dyDescent="0.35">
      <c r="A9" s="10" t="s">
        <v>28</v>
      </c>
      <c r="B9" s="10"/>
      <c r="C9" s="10"/>
      <c r="D9" s="10"/>
      <c r="E9" s="10"/>
      <c r="F9" s="10"/>
      <c r="G9" s="10"/>
      <c r="H9" s="10"/>
      <c r="J9" s="10" t="s">
        <v>11</v>
      </c>
      <c r="K9" s="10"/>
      <c r="L9" s="10"/>
      <c r="M9" s="10"/>
    </row>
    <row r="10" spans="1:13" x14ac:dyDescent="0.35">
      <c r="A10" s="1" t="s">
        <v>0</v>
      </c>
      <c r="B10" s="2" t="s">
        <v>1</v>
      </c>
      <c r="C10" s="2" t="s">
        <v>2</v>
      </c>
      <c r="D10" s="2" t="s">
        <v>3</v>
      </c>
      <c r="E10" s="2" t="s">
        <v>26</v>
      </c>
      <c r="F10" s="2" t="s">
        <v>27</v>
      </c>
      <c r="G10" s="2" t="s">
        <v>4</v>
      </c>
      <c r="H10" s="3" t="s">
        <v>5</v>
      </c>
      <c r="J10" s="1" t="s">
        <v>0</v>
      </c>
      <c r="K10" s="2" t="s">
        <v>12</v>
      </c>
      <c r="L10" s="2" t="s">
        <v>13</v>
      </c>
      <c r="M10" s="2" t="s">
        <v>14</v>
      </c>
    </row>
    <row r="11" spans="1:13" x14ac:dyDescent="0.35">
      <c r="A11" s="8" t="s">
        <v>6</v>
      </c>
      <c r="B11" s="4">
        <v>1E-3</v>
      </c>
      <c r="C11" s="4">
        <v>1E-3</v>
      </c>
      <c r="D11" s="4">
        <v>1E-3</v>
      </c>
      <c r="E11" s="4">
        <v>1E-3</v>
      </c>
      <c r="F11" s="4">
        <v>1E-3</v>
      </c>
      <c r="G11" s="4">
        <v>2530353</v>
      </c>
      <c r="H11" s="5">
        <f>AVERAGE(Table11617[[#This Row],[Trial 1 (s)]:[Trial 5 (s)]])</f>
        <v>1E-3</v>
      </c>
      <c r="J11" s="8" t="s">
        <v>6</v>
      </c>
      <c r="K11" s="4">
        <f>H3</f>
        <v>6.0000000000000006E-4</v>
      </c>
      <c r="L11" s="4">
        <f>H11</f>
        <v>1E-3</v>
      </c>
      <c r="M11" s="4">
        <f>H3/H11</f>
        <v>0.60000000000000009</v>
      </c>
    </row>
    <row r="12" spans="1:13" x14ac:dyDescent="0.35">
      <c r="A12" s="8" t="s">
        <v>7</v>
      </c>
      <c r="B12" s="4">
        <v>5.0000000000000001E-3</v>
      </c>
      <c r="C12" s="4">
        <v>5.0000000000000001E-3</v>
      </c>
      <c r="D12" s="4">
        <v>4.0000000000000001E-3</v>
      </c>
      <c r="E12" s="4">
        <v>3.0000000000000001E-3</v>
      </c>
      <c r="F12" s="4">
        <v>4.0000000000000001E-3</v>
      </c>
      <c r="G12" s="4">
        <v>20311014</v>
      </c>
      <c r="H12" s="5">
        <f>AVERAGE(Table11617[[#This Row],[Trial 1 (s)]:[Trial 5 (s)]])</f>
        <v>4.2000000000000006E-3</v>
      </c>
      <c r="J12" s="8" t="s">
        <v>7</v>
      </c>
      <c r="K12" s="4">
        <f>H4</f>
        <v>3.4000000000000002E-3</v>
      </c>
      <c r="L12" s="4">
        <f>H12</f>
        <v>4.2000000000000006E-3</v>
      </c>
      <c r="M12" s="4">
        <f>H4/H12</f>
        <v>0.80952380952380942</v>
      </c>
    </row>
    <row r="13" spans="1:13" x14ac:dyDescent="0.35">
      <c r="A13" s="8" t="s">
        <v>8</v>
      </c>
      <c r="B13" s="4">
        <v>3.1E-2</v>
      </c>
      <c r="C13" s="4">
        <v>3.7999999999999999E-2</v>
      </c>
      <c r="D13" s="4">
        <v>2.3E-2</v>
      </c>
      <c r="E13" s="4">
        <v>2.9000000000000001E-2</v>
      </c>
      <c r="F13" s="4">
        <v>2.1999999999999999E-2</v>
      </c>
      <c r="G13" s="4">
        <v>161353236</v>
      </c>
      <c r="H13" s="5">
        <f>AVERAGE(Table11617[[#This Row],[Trial 1 (s)]:[Trial 5 (s)]])</f>
        <v>2.8599999999999997E-2</v>
      </c>
      <c r="J13" s="8" t="s">
        <v>8</v>
      </c>
      <c r="K13" s="4">
        <f>H5</f>
        <v>3.9E-2</v>
      </c>
      <c r="L13" s="4">
        <f>H13</f>
        <v>2.8599999999999997E-2</v>
      </c>
      <c r="M13" s="4">
        <f>H5/H13</f>
        <v>1.3636363636363638</v>
      </c>
    </row>
    <row r="14" spans="1:13" x14ac:dyDescent="0.35">
      <c r="A14" s="8" t="s">
        <v>9</v>
      </c>
      <c r="B14" s="4">
        <v>0.06</v>
      </c>
      <c r="C14" s="4">
        <v>0.113</v>
      </c>
      <c r="D14" s="4">
        <v>0.107</v>
      </c>
      <c r="E14" s="4">
        <v>0.106</v>
      </c>
      <c r="F14" s="4">
        <v>0.109</v>
      </c>
      <c r="G14" s="4">
        <v>546277256</v>
      </c>
      <c r="H14" s="5">
        <f>AVERAGE(Table11617[[#This Row],[Trial 1 (s)]:[Trial 5 (s)]])</f>
        <v>9.8999999999999991E-2</v>
      </c>
      <c r="J14" s="8" t="s">
        <v>9</v>
      </c>
      <c r="K14" s="4">
        <f>H6</f>
        <v>0.10340000000000001</v>
      </c>
      <c r="L14" s="4">
        <f>H14</f>
        <v>9.8999999999999991E-2</v>
      </c>
      <c r="M14" s="4">
        <f>H6/H14</f>
        <v>1.0444444444444445</v>
      </c>
    </row>
    <row r="15" spans="1:13" x14ac:dyDescent="0.35">
      <c r="A15" s="9" t="s">
        <v>10</v>
      </c>
      <c r="B15" s="6">
        <v>0.16500000000000001</v>
      </c>
      <c r="C15" s="6">
        <v>0.17</v>
      </c>
      <c r="D15" s="6">
        <v>0.27900000000000003</v>
      </c>
      <c r="E15" s="6">
        <v>0.189</v>
      </c>
      <c r="F15" s="6">
        <v>0.183</v>
      </c>
      <c r="G15" s="6">
        <v>1295288705</v>
      </c>
      <c r="H15" s="5">
        <f>AVERAGE(Table11617[[#This Row],[Trial 1 (s)]:[Trial 5 (s)]])</f>
        <v>0.19720000000000004</v>
      </c>
      <c r="J15" s="9" t="s">
        <v>10</v>
      </c>
      <c r="K15" s="4">
        <f>H7</f>
        <v>0.21239999999999998</v>
      </c>
      <c r="L15" s="4">
        <f>H15</f>
        <v>0.19720000000000004</v>
      </c>
      <c r="M15" s="4">
        <f>H7/H15</f>
        <v>1.0770791075050707</v>
      </c>
    </row>
    <row r="17" spans="1:18" x14ac:dyDescent="0.35">
      <c r="A17" s="10" t="s">
        <v>29</v>
      </c>
      <c r="B17" s="10"/>
      <c r="C17" s="10"/>
      <c r="D17" s="10"/>
      <c r="E17" s="10"/>
      <c r="F17" s="10"/>
      <c r="G17" s="10"/>
      <c r="H17" s="10"/>
      <c r="J17" s="10" t="s">
        <v>30</v>
      </c>
      <c r="K17" s="10"/>
      <c r="L17" s="10"/>
      <c r="M17" s="10"/>
      <c r="O17" s="10" t="s">
        <v>31</v>
      </c>
      <c r="P17" s="10"/>
      <c r="Q17" s="10"/>
      <c r="R17" s="10"/>
    </row>
    <row r="18" spans="1:18" x14ac:dyDescent="0.35">
      <c r="A18" s="1" t="s">
        <v>0</v>
      </c>
      <c r="B18" s="2" t="s">
        <v>1</v>
      </c>
      <c r="C18" s="2" t="s">
        <v>2</v>
      </c>
      <c r="D18" s="2" t="s">
        <v>3</v>
      </c>
      <c r="E18" s="2" t="s">
        <v>26</v>
      </c>
      <c r="F18" s="2" t="s">
        <v>27</v>
      </c>
      <c r="G18" s="2" t="s">
        <v>4</v>
      </c>
      <c r="H18" s="3" t="s">
        <v>5</v>
      </c>
      <c r="J18" s="1" t="s">
        <v>0</v>
      </c>
      <c r="K18" s="2" t="s">
        <v>33</v>
      </c>
      <c r="L18" s="2" t="s">
        <v>32</v>
      </c>
      <c r="M18" s="2" t="s">
        <v>14</v>
      </c>
      <c r="O18" s="1" t="s">
        <v>0</v>
      </c>
      <c r="P18" s="2" t="s">
        <v>34</v>
      </c>
      <c r="Q18" s="2" t="s">
        <v>32</v>
      </c>
      <c r="R18" s="2" t="s">
        <v>14</v>
      </c>
    </row>
    <row r="19" spans="1:18" x14ac:dyDescent="0.35">
      <c r="A19" s="12">
        <v>2</v>
      </c>
      <c r="B19" s="4">
        <v>0.28399999999999997</v>
      </c>
      <c r="C19" s="4">
        <v>0.222</v>
      </c>
      <c r="D19" s="4">
        <v>0.25600000000000001</v>
      </c>
      <c r="E19" s="4">
        <v>0.25900000000000001</v>
      </c>
      <c r="F19" s="4">
        <v>0.216</v>
      </c>
      <c r="G19" s="4">
        <v>1295288705</v>
      </c>
      <c r="H19" s="4">
        <f>AVERAGE(Table1161719[[#This Row],[Trial 1 (s)]:[Trial 5 (s)]])</f>
        <v>0.24739999999999998</v>
      </c>
      <c r="J19" s="12">
        <v>2</v>
      </c>
      <c r="K19" s="11">
        <f>$H$7</f>
        <v>0.21239999999999998</v>
      </c>
      <c r="L19" s="4">
        <f>H19</f>
        <v>0.24739999999999998</v>
      </c>
      <c r="M19" s="4">
        <f t="shared" ref="M19:M26" si="0">$H$7/H19</f>
        <v>0.8585286984640258</v>
      </c>
      <c r="O19" s="12">
        <v>2</v>
      </c>
      <c r="P19" s="11">
        <f>$H$15</f>
        <v>0.19720000000000004</v>
      </c>
      <c r="Q19" s="4">
        <f>H19</f>
        <v>0.24739999999999998</v>
      </c>
      <c r="R19" s="4">
        <f>$H$15/H19</f>
        <v>0.79708973322554588</v>
      </c>
    </row>
    <row r="20" spans="1:18" x14ac:dyDescent="0.35">
      <c r="A20" s="12">
        <v>8</v>
      </c>
      <c r="B20" s="4">
        <v>0.17100000000000001</v>
      </c>
      <c r="C20" s="4">
        <v>0.20399999999999999</v>
      </c>
      <c r="D20" s="4">
        <v>0.17899999999999999</v>
      </c>
      <c r="E20" s="4">
        <v>0.23</v>
      </c>
      <c r="F20" s="4">
        <v>0.193</v>
      </c>
      <c r="G20" s="4">
        <v>1295288705</v>
      </c>
      <c r="H20" s="5">
        <f>AVERAGE(Table1161719[[#This Row],[Trial 1 (s)]:[Trial 5 (s)]])</f>
        <v>0.19540000000000002</v>
      </c>
      <c r="J20" s="12">
        <v>8</v>
      </c>
      <c r="K20" s="11">
        <f t="shared" ref="K20:K26" si="1">$H$7</f>
        <v>0.21239999999999998</v>
      </c>
      <c r="L20" s="4">
        <f>H19</f>
        <v>0.24739999999999998</v>
      </c>
      <c r="M20" s="4">
        <f t="shared" si="0"/>
        <v>1.0870010235414531</v>
      </c>
      <c r="O20" s="12">
        <v>8</v>
      </c>
      <c r="P20" s="11">
        <f t="shared" ref="P20:P26" si="2">$H$15</f>
        <v>0.19720000000000004</v>
      </c>
      <c r="Q20" s="4">
        <f t="shared" ref="Q20:Q26" si="3">H20</f>
        <v>0.19540000000000002</v>
      </c>
      <c r="R20" s="4">
        <f t="shared" ref="R20:R26" si="4">$H$15/H20</f>
        <v>1.0092118730808599</v>
      </c>
    </row>
    <row r="21" spans="1:18" x14ac:dyDescent="0.35">
      <c r="A21" s="12">
        <v>16</v>
      </c>
      <c r="B21" s="4">
        <v>0.17899999999999999</v>
      </c>
      <c r="C21" s="4">
        <v>0.248</v>
      </c>
      <c r="D21" s="4">
        <v>0.19800000000000001</v>
      </c>
      <c r="E21" s="4">
        <v>0.14199999999999999</v>
      </c>
      <c r="F21" s="4">
        <v>0.183</v>
      </c>
      <c r="G21" s="4">
        <v>1295288705</v>
      </c>
      <c r="H21" s="5">
        <f>AVERAGE(Table1161719[[#This Row],[Trial 1 (s)]:[Trial 5 (s)]])</f>
        <v>0.19</v>
      </c>
      <c r="J21" s="12">
        <v>16</v>
      </c>
      <c r="K21" s="11">
        <f t="shared" si="1"/>
        <v>0.21239999999999998</v>
      </c>
      <c r="L21" s="4">
        <f>H20</f>
        <v>0.19540000000000002</v>
      </c>
      <c r="M21" s="4">
        <f t="shared" si="0"/>
        <v>1.1178947368421051</v>
      </c>
      <c r="O21" s="12">
        <v>16</v>
      </c>
      <c r="P21" s="11">
        <f t="shared" si="2"/>
        <v>0.19720000000000004</v>
      </c>
      <c r="Q21" s="4">
        <f t="shared" si="3"/>
        <v>0.19</v>
      </c>
      <c r="R21" s="4">
        <f t="shared" si="4"/>
        <v>1.0378947368421054</v>
      </c>
    </row>
    <row r="22" spans="1:18" x14ac:dyDescent="0.35">
      <c r="A22" s="12">
        <v>20</v>
      </c>
      <c r="B22" s="4">
        <v>0.17899999999999999</v>
      </c>
      <c r="C22" s="4">
        <v>0.192</v>
      </c>
      <c r="D22" s="4">
        <v>0.19800000000000001</v>
      </c>
      <c r="E22" s="4">
        <v>0.156</v>
      </c>
      <c r="F22" s="4">
        <v>0.193</v>
      </c>
      <c r="G22" s="4">
        <v>1295288705</v>
      </c>
      <c r="H22" s="5">
        <f>AVERAGE(Table1161719[[#This Row],[Trial 1 (s)]:[Trial 5 (s)]])</f>
        <v>0.18359999999999999</v>
      </c>
      <c r="J22" s="12">
        <v>20</v>
      </c>
      <c r="K22" s="11">
        <f t="shared" si="1"/>
        <v>0.21239999999999998</v>
      </c>
      <c r="L22" s="4">
        <f>H21</f>
        <v>0.19</v>
      </c>
      <c r="M22" s="4">
        <f t="shared" si="0"/>
        <v>1.1568627450980391</v>
      </c>
      <c r="O22" s="12">
        <v>20</v>
      </c>
      <c r="P22" s="11">
        <f t="shared" si="2"/>
        <v>0.19720000000000004</v>
      </c>
      <c r="Q22" s="4">
        <f t="shared" si="3"/>
        <v>0.18359999999999999</v>
      </c>
      <c r="R22" s="4">
        <f t="shared" si="4"/>
        <v>1.0740740740740744</v>
      </c>
    </row>
    <row r="23" spans="1:18" x14ac:dyDescent="0.35">
      <c r="A23" s="12">
        <v>25</v>
      </c>
      <c r="B23" s="4">
        <v>0.215</v>
      </c>
      <c r="C23" s="4">
        <v>0.25700000000000001</v>
      </c>
      <c r="D23" s="4">
        <v>0.23599999999999999</v>
      </c>
      <c r="E23" s="4">
        <v>0.159</v>
      </c>
      <c r="F23" s="4">
        <v>0.22</v>
      </c>
      <c r="G23" s="4">
        <v>1295288705</v>
      </c>
      <c r="H23" s="5">
        <f>AVERAGE(Table1161719[[#This Row],[Trial 1 (s)]:[Trial 5 (s)]])</f>
        <v>0.21739999999999998</v>
      </c>
      <c r="J23" s="12">
        <v>25</v>
      </c>
      <c r="K23" s="11">
        <f t="shared" si="1"/>
        <v>0.21239999999999998</v>
      </c>
      <c r="L23" s="4">
        <f>H22</f>
        <v>0.18359999999999999</v>
      </c>
      <c r="M23" s="4">
        <f t="shared" si="0"/>
        <v>0.97700091996320149</v>
      </c>
      <c r="O23" s="12">
        <v>25</v>
      </c>
      <c r="P23" s="11">
        <f t="shared" si="2"/>
        <v>0.19720000000000004</v>
      </c>
      <c r="Q23" s="4">
        <f t="shared" si="3"/>
        <v>0.21739999999999998</v>
      </c>
      <c r="R23" s="4">
        <f t="shared" si="4"/>
        <v>0.90708371665133425</v>
      </c>
    </row>
    <row r="24" spans="1:18" x14ac:dyDescent="0.35">
      <c r="A24" s="13">
        <v>50</v>
      </c>
      <c r="B24" s="6">
        <v>0.14000000000000001</v>
      </c>
      <c r="C24" s="6">
        <v>0.28599999999999998</v>
      </c>
      <c r="D24" s="6">
        <v>0.23899999999999999</v>
      </c>
      <c r="E24" s="6">
        <v>0.183</v>
      </c>
      <c r="F24" s="6">
        <v>0.19700000000000001</v>
      </c>
      <c r="G24" s="6">
        <v>1295288705</v>
      </c>
      <c r="H24" s="5">
        <f>AVERAGE(Table1161719[[#This Row],[Trial 1 (s)]:[Trial 5 (s)]])</f>
        <v>0.20900000000000002</v>
      </c>
      <c r="J24" s="13">
        <v>50</v>
      </c>
      <c r="K24" s="11">
        <f t="shared" si="1"/>
        <v>0.21239999999999998</v>
      </c>
      <c r="L24" s="4">
        <f>H23</f>
        <v>0.21739999999999998</v>
      </c>
      <c r="M24" s="4">
        <f t="shared" si="0"/>
        <v>1.0162679425837318</v>
      </c>
      <c r="O24" s="13">
        <v>50</v>
      </c>
      <c r="P24" s="11">
        <f t="shared" si="2"/>
        <v>0.19720000000000004</v>
      </c>
      <c r="Q24" s="4">
        <f t="shared" si="3"/>
        <v>0.20900000000000002</v>
      </c>
      <c r="R24" s="4">
        <f t="shared" si="4"/>
        <v>0.94354066985645946</v>
      </c>
    </row>
    <row r="25" spans="1:18" x14ac:dyDescent="0.35">
      <c r="A25" s="12">
        <v>100</v>
      </c>
      <c r="B25" s="4">
        <v>0.184</v>
      </c>
      <c r="C25" s="4">
        <v>0.29199999999999998</v>
      </c>
      <c r="D25" s="4">
        <v>0.21099999999999999</v>
      </c>
      <c r="E25" s="4">
        <v>0.218</v>
      </c>
      <c r="F25" s="4">
        <v>0.17199999999999999</v>
      </c>
      <c r="G25" s="4">
        <v>1295288705</v>
      </c>
      <c r="H25" s="4">
        <f>AVERAGE(Table1161719[[#This Row],[Trial 1 (s)]:[Trial 5 (s)]])</f>
        <v>0.21539999999999998</v>
      </c>
      <c r="J25" s="12">
        <v>100</v>
      </c>
      <c r="K25" s="11">
        <f t="shared" si="1"/>
        <v>0.21239999999999998</v>
      </c>
      <c r="L25" s="4">
        <f>H25</f>
        <v>0.21539999999999998</v>
      </c>
      <c r="M25" s="4">
        <f t="shared" si="0"/>
        <v>0.98607242339832868</v>
      </c>
      <c r="O25" s="12">
        <v>100</v>
      </c>
      <c r="P25" s="11">
        <f t="shared" si="2"/>
        <v>0.19720000000000004</v>
      </c>
      <c r="Q25" s="4">
        <f t="shared" si="3"/>
        <v>0.21539999999999998</v>
      </c>
      <c r="R25" s="4">
        <f t="shared" si="4"/>
        <v>0.9155060352831943</v>
      </c>
    </row>
    <row r="26" spans="1:18" x14ac:dyDescent="0.35">
      <c r="A26" s="12">
        <v>200</v>
      </c>
      <c r="B26" s="4">
        <v>0.18099999999999999</v>
      </c>
      <c r="C26" s="4">
        <v>0.20100000000000001</v>
      </c>
      <c r="D26" s="4">
        <v>0.27</v>
      </c>
      <c r="E26" s="4">
        <v>0.24199999999999999</v>
      </c>
      <c r="F26" s="4">
        <v>0.183</v>
      </c>
      <c r="G26" s="4">
        <v>1295288705</v>
      </c>
      <c r="H26" s="4">
        <f>AVERAGE(Table1161719[[#This Row],[Trial 1 (s)]:[Trial 5 (s)]])</f>
        <v>0.21539999999999998</v>
      </c>
      <c r="J26" s="12">
        <v>200</v>
      </c>
      <c r="K26" s="11">
        <f t="shared" si="1"/>
        <v>0.21239999999999998</v>
      </c>
      <c r="L26" s="4">
        <f>H26</f>
        <v>0.21539999999999998</v>
      </c>
      <c r="M26" s="4">
        <f t="shared" si="0"/>
        <v>0.98607242339832868</v>
      </c>
      <c r="O26" s="12">
        <v>200</v>
      </c>
      <c r="P26" s="11">
        <f t="shared" si="2"/>
        <v>0.19720000000000004</v>
      </c>
      <c r="Q26" s="4">
        <f t="shared" si="3"/>
        <v>0.21539999999999998</v>
      </c>
      <c r="R26" s="4">
        <f t="shared" si="4"/>
        <v>0.9155060352831943</v>
      </c>
    </row>
  </sheetData>
  <mergeCells count="6">
    <mergeCell ref="A17:H17"/>
    <mergeCell ref="J17:M17"/>
    <mergeCell ref="O17:R17"/>
    <mergeCell ref="A1:H1"/>
    <mergeCell ref="A9:H9"/>
    <mergeCell ref="J9:M9"/>
  </mergeCells>
  <phoneticPr fontId="2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 Order Optimization</vt:lpstr>
      <vt:lpstr>Block Size Optimization 400x400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Ruhan Rahman</dc:creator>
  <cp:lastModifiedBy>Ruhan Rahman</cp:lastModifiedBy>
  <dcterms:created xsi:type="dcterms:W3CDTF">2026-06-11T15:57:53Z</dcterms:created>
  <dcterms:modified xsi:type="dcterms:W3CDTF">2026-06-16T20:55:33Z</dcterms:modified>
</cp:coreProperties>
</file>